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pf" sheetId="1" state="visible" r:id="rId1"/>
    <sheet xmlns:r="http://schemas.openxmlformats.org/officeDocument/2006/relationships" name="Leistu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Rechnungsnummer</t>
        </is>
      </c>
      <c r="B1" t="inlineStr">
        <is>
          <t>LN-2024-17</t>
        </is>
      </c>
    </row>
    <row r="2">
      <c r="A2" t="inlineStr">
        <is>
          <t>Lieferant</t>
        </is>
      </c>
      <c r="B2" t="inlineStr">
        <is>
          <t>Freelance Dev Meyer</t>
        </is>
      </c>
    </row>
    <row r="3">
      <c r="A3" t="inlineStr">
        <is>
          <t>USt-IdNr</t>
        </is>
      </c>
      <c r="B3" t="inlineStr">
        <is>
          <t>DE844444444</t>
        </is>
      </c>
    </row>
    <row r="4">
      <c r="A4" t="inlineStr">
        <is>
          <t>Rechnungsdatum</t>
        </is>
      </c>
      <c r="B4" s="1" t="n">
        <v>45566</v>
      </c>
    </row>
    <row r="5">
      <c r="A5" t="inlineStr">
        <is>
          <t>Fällig am</t>
        </is>
      </c>
      <c r="B5" s="1" t="n">
        <v>45596</v>
      </c>
    </row>
    <row r="6">
      <c r="A6" t="inlineStr">
        <is>
          <t>Bestellung</t>
        </is>
      </c>
      <c r="B6" t="inlineStr">
        <is>
          <t>PO-4502</t>
        </is>
      </c>
    </row>
    <row r="7">
      <c r="A7" t="inlineStr">
        <is>
          <t>IBAN</t>
        </is>
      </c>
      <c r="B7" t="inlineStr">
        <is>
          <t>DE75512108001245126199</t>
        </is>
      </c>
    </row>
    <row r="8">
      <c r="A8" t="inlineStr">
        <is>
          <t>Währung</t>
        </is>
      </c>
      <c r="B8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Datum</t>
        </is>
      </c>
      <c r="B1" t="inlineStr">
        <is>
          <t>Tätigkeit</t>
        </is>
      </c>
      <c r="C1" t="inlineStr">
        <is>
          <t>Stunden</t>
        </is>
      </c>
      <c r="D1" t="inlineStr">
        <is>
          <t>Satz_EUR</t>
        </is>
      </c>
      <c r="E1" t="inlineStr">
        <is>
          <t>Betrag_EUR</t>
        </is>
      </c>
    </row>
    <row r="2">
      <c r="A2" s="1" t="n">
        <v>45537</v>
      </c>
      <c r="B2" t="inlineStr">
        <is>
          <t>Softwareentwicklung</t>
        </is>
      </c>
      <c r="C2" t="n">
        <v>8</v>
      </c>
      <c r="D2" t="n">
        <v>80</v>
      </c>
      <c r="E2">
        <f>C2*D2</f>
        <v>640</v>
      </c>
    </row>
    <row r="3">
      <c r="A3" s="1" t="n">
        <v>45538</v>
      </c>
      <c r="B3" t="inlineStr">
        <is>
          <t>Softwareentwicklung</t>
        </is>
      </c>
      <c r="C3" t="n">
        <v>8</v>
      </c>
      <c r="D3" t="n">
        <v>80</v>
      </c>
      <c r="E3">
        <f>C3*D3</f>
        <v>640</v>
      </c>
    </row>
    <row r="4">
      <c r="A4" s="1" t="n">
        <v>45539</v>
      </c>
      <c r="B4" t="inlineStr">
        <is>
          <t>Softwareentwicklung</t>
        </is>
      </c>
      <c r="C4" t="n">
        <v>8</v>
      </c>
      <c r="D4" t="n">
        <v>80</v>
      </c>
      <c r="E4">
        <f>C4*D4</f>
        <v>640</v>
      </c>
    </row>
    <row r="5">
      <c r="A5" s="1" t="n">
        <v>45540</v>
      </c>
      <c r="B5" t="inlineStr">
        <is>
          <t>Softwareentwicklung</t>
        </is>
      </c>
      <c r="C5" t="n">
        <v>8</v>
      </c>
      <c r="D5" t="n">
        <v>80</v>
      </c>
      <c r="E5">
        <f>C5*D5</f>
        <v>640</v>
      </c>
    </row>
    <row r="6">
      <c r="A6" s="1" t="n">
        <v>45541</v>
      </c>
      <c r="B6" t="inlineStr">
        <is>
          <t>Softwareentwicklung</t>
        </is>
      </c>
      <c r="C6" t="n">
        <v>8</v>
      </c>
      <c r="D6" t="n">
        <v>80</v>
      </c>
      <c r="E6">
        <f>C6*D6</f>
        <v>640</v>
      </c>
    </row>
    <row r="7">
      <c r="A7" s="1" t="n">
        <v>45544</v>
      </c>
      <c r="B7" t="inlineStr">
        <is>
          <t>Softwareentwicklung</t>
        </is>
      </c>
      <c r="C7" t="n">
        <v>8</v>
      </c>
      <c r="D7" t="n">
        <v>80</v>
      </c>
      <c r="E7">
        <f>C7*D7</f>
        <v>640</v>
      </c>
    </row>
    <row r="8">
      <c r="A8" s="1" t="n">
        <v>45545</v>
      </c>
      <c r="B8" t="inlineStr">
        <is>
          <t>Softwareentwicklung</t>
        </is>
      </c>
      <c r="C8" t="n">
        <v>6</v>
      </c>
      <c r="D8" t="n">
        <v>80</v>
      </c>
      <c r="E8">
        <f>C8*D8</f>
        <v>480</v>
      </c>
    </row>
    <row r="9">
      <c r="A9" s="1" t="n">
        <v>45546</v>
      </c>
      <c r="B9" t="inlineStr">
        <is>
          <t>Softwareentwicklung</t>
        </is>
      </c>
      <c r="C9" t="n">
        <v>6</v>
      </c>
      <c r="D9" t="n">
        <v>80</v>
      </c>
      <c r="E9">
        <f>C9*D9</f>
        <v>480</v>
      </c>
    </row>
    <row r="10">
      <c r="A10" t="inlineStr">
        <is>
          <t>Netto</t>
        </is>
      </c>
      <c r="E10">
        <f>SUM(E2:E9)</f>
        <v>4800</v>
      </c>
    </row>
    <row r="11">
      <c r="A11" t="inlineStr">
        <is>
          <t>USt 16 %</t>
        </is>
      </c>
      <c r="E11">
        <f>ROUND(E10*0.16,2)</f>
        <v>768</v>
      </c>
    </row>
    <row r="12">
      <c r="A12" t="inlineStr">
        <is>
          <t>Brutto</t>
        </is>
      </c>
      <c r="E12">
        <f>E10+E11</f>
        <v>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awa benchmark</dc:creator>
  <dcterms:created xmlns:dcterms="http://purl.org/dc/terms/" xmlns:xsi="http://www.w3.org/2001/XMLSchema-instance" xsi:type="dcterms:W3CDTF">2024-10-01T08:00:00Z</dcterms:created>
  <dcterms:modified xmlns:dcterms="http://purl.org/dc/terms/" xmlns:xsi="http://www.w3.org/2001/XMLSchema-instance" xsi:type="dcterms:W3CDTF">2024-10-01T08:00:00Z</dcterms:modified>
  <cp:lastModifiedBy>awa benchmark</cp:lastModifiedBy>
</cp:coreProperties>
</file>